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\Documents\Cincinnati State\Coursework\26 Spring\NETC 280\Lab 7\"/>
    </mc:Choice>
  </mc:AlternateContent>
  <xr:revisionPtr revIDLastSave="0" documentId="13_ncr:1_{ACBC84FE-D332-4B96-B23A-BA2206C35772}" xr6:coauthVersionLast="47" xr6:coauthVersionMax="47" xr10:uidLastSave="{00000000-0000-0000-0000-000000000000}"/>
  <bookViews>
    <workbookView xWindow="-120" yWindow="-120" windowWidth="29040" windowHeight="15720" xr2:uid="{81F5977C-06A1-42B2-8BA2-ACA6430F84C5}"/>
  </bookViews>
  <sheets>
    <sheet name="Asset Register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2" i="1"/>
  <c r="L2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</calcChain>
</file>

<file path=xl/sharedStrings.xml><?xml version="1.0" encoding="utf-8"?>
<sst xmlns="http://schemas.openxmlformats.org/spreadsheetml/2006/main" count="73" uniqueCount="61">
  <si>
    <t>Asset ID</t>
  </si>
  <si>
    <t>Asset Name</t>
  </si>
  <si>
    <t>Asset Type</t>
  </si>
  <si>
    <t>Location</t>
  </si>
  <si>
    <t>Assigned To</t>
  </si>
  <si>
    <t>Acquisition Date</t>
  </si>
  <si>
    <t>Purchase Cost</t>
  </si>
  <si>
    <t>Salvage Value</t>
  </si>
  <si>
    <t>Serial Number/License Key</t>
  </si>
  <si>
    <t>Annual Depreciation</t>
  </si>
  <si>
    <t>Current Book Value</t>
  </si>
  <si>
    <t>Condition</t>
  </si>
  <si>
    <t>Notes</t>
  </si>
  <si>
    <t>HR Dept</t>
  </si>
  <si>
    <t>Server Room</t>
  </si>
  <si>
    <t>PC-HR-2022-001</t>
  </si>
  <si>
    <t>SW-IT-2021-001</t>
  </si>
  <si>
    <t>LIC-SL-2024-001</t>
  </si>
  <si>
    <t>Expired</t>
  </si>
  <si>
    <t>PRN-FO-2020-001</t>
  </si>
  <si>
    <t>FW-IT-2019-001</t>
  </si>
  <si>
    <t>PC-DS-2024-001</t>
  </si>
  <si>
    <t>UPS-IT-2021-001</t>
  </si>
  <si>
    <t>CAM-FC-2023-001</t>
  </si>
  <si>
    <t>IT</t>
  </si>
  <si>
    <t>Fixed</t>
  </si>
  <si>
    <t>Infrastructure</t>
  </si>
  <si>
    <t>Intangible</t>
  </si>
  <si>
    <t>Room 101</t>
  </si>
  <si>
    <t>Front Office</t>
  </si>
  <si>
    <t>IT Dept</t>
  </si>
  <si>
    <t>Main Lobby</t>
  </si>
  <si>
    <t>NETC-001</t>
  </si>
  <si>
    <t>NETC-002</t>
  </si>
  <si>
    <t>NETC-003</t>
  </si>
  <si>
    <t>NETC-004</t>
  </si>
  <si>
    <t>NETC-005</t>
  </si>
  <si>
    <t>NETC-006</t>
  </si>
  <si>
    <t>NETC-007</t>
  </si>
  <si>
    <t>NETC-008</t>
  </si>
  <si>
    <t>103B-A02</t>
  </si>
  <si>
    <t>Design Dept</t>
  </si>
  <si>
    <t>Cloud</t>
  </si>
  <si>
    <t>Sarah Kim, HR Dept</t>
  </si>
  <si>
    <t>Jamie Torres, Design Dept</t>
  </si>
  <si>
    <t>Facilities Dept</t>
  </si>
  <si>
    <t>Marcus Webb, Sales</t>
  </si>
  <si>
    <t>Good</t>
  </si>
  <si>
    <t>Warranty Expiry</t>
  </si>
  <si>
    <t>YIT9341-P4J5</t>
  </si>
  <si>
    <t>DAQ8536-T7F9</t>
  </si>
  <si>
    <t>CYTL698856</t>
  </si>
  <si>
    <t>JER9C-94T5E-VJP3N-C3RTY-9JG74</t>
  </si>
  <si>
    <t>HY4EE9KL85</t>
  </si>
  <si>
    <t>JL6283625148</t>
  </si>
  <si>
    <t>VK-CD52-8754AD69</t>
  </si>
  <si>
    <t>Fair</t>
  </si>
  <si>
    <t>Poor</t>
  </si>
  <si>
    <t>Useful Life (Yrs)</t>
  </si>
  <si>
    <t>EOSL Aug 31, 2026</t>
  </si>
  <si>
    <t>ESOL Oct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</si>
</sst>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4" fontId="3" fillId="0" borderId="0" xfId="1" applyNumberFormat="1" applyFont="1" applyAlignment="1">
      <alignment horizontal="left" vertical="center" indent="5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" fillId="0" borderId="0" xfId="1" applyNumberFormat="1" applyFont="1" applyFill="1" applyAlignment="1">
      <alignment horizontal="left"/>
    </xf>
    <xf numFmtId="164" fontId="3" fillId="0" borderId="0" xfId="1" applyNumberFormat="1" applyFont="1"/>
    <xf numFmtId="14" fontId="2" fillId="0" borderId="0" xfId="0" applyNumberFormat="1" applyFont="1" applyAlignment="1">
      <alignment horizontal="left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7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04305-A81E-49CE-B86D-3869A4EC0922}" name="Table1" displayName="Table1" ref="A1:O9" totalsRowShown="0" headerRowDxfId="6">
  <autoFilter ref="A1:O9" xr:uid="{06A04305-A81E-49CE-B86D-3869A4EC0922}"/>
  <tableColumns count="15">
    <tableColumn id="1" xr3:uid="{53D26041-1526-45D5-9B70-06FD362A8164}" name="Asset ID"/>
    <tableColumn id="2" xr3:uid="{FD9629C9-015E-4430-8A13-119505ADFDA6}" name="Asset Name"/>
    <tableColumn id="3" xr3:uid="{BAFBD8C9-C4B6-4A16-82AF-2F5CDE46E732}" name="Asset Type"/>
    <tableColumn id="4" xr3:uid="{D20DE2D0-93BD-48A8-A188-70FF6820E25A}" name="Serial Number/License Key"/>
    <tableColumn id="5" xr3:uid="{3FEF44EC-0729-4616-B9CC-68B125E57EA7}" name="Location"/>
    <tableColumn id="6" xr3:uid="{EB76EF84-32A1-4C1F-B203-F1EE23EDAAF2}" name="Assigned To"/>
    <tableColumn id="7" xr3:uid="{4B603465-BD58-486E-B6AE-B9E4D45393EA}" name="Acquisition Date" dataDxfId="5"/>
    <tableColumn id="8" xr3:uid="{06DB6EE6-EE66-41CE-924E-08443586FC09}" name="Purchase Cost" dataDxfId="4" dataCellStyle="Currency"/>
    <tableColumn id="9" xr3:uid="{DE530B1D-BDCA-454A-9FA3-E337463224F6}" name="Useful Life (Yrs)"/>
    <tableColumn id="10" xr3:uid="{3628ADA4-D4CF-46E5-B554-E928A89AC726}" name="Salvage Value" dataDxfId="3" dataCellStyle="Currency"/>
    <tableColumn id="11" xr3:uid="{78E193B2-CA62-4462-8B00-C628EDFA3AAD}" name="Annual Depreciation" dataDxfId="2" dataCellStyle="Currency">
      <calculatedColumnFormula>(H2-J2)/I2</calculatedColumnFormula>
    </tableColumn>
    <tableColumn id="12" xr3:uid="{0C78BC38-8FFA-4662-83A3-0A94005347CE}" name="Current Book Value" dataDxfId="1" dataCellStyle="Currency">
      <calculatedColumnFormula>H2-(K2*(YEAR(TODAY())-YEAR(G2)))</calculatedColumnFormula>
    </tableColumn>
    <tableColumn id="13" xr3:uid="{645CA7B1-A902-47E3-9F7A-685B5FA828CC}" name="Condition"/>
    <tableColumn id="14" xr3:uid="{01D25EC3-A4DD-48FE-872D-3EEEED13FDB6}" name="Warranty Expiry" dataDxfId="0"/>
    <tableColumn id="15" xr3:uid="{5138E7A1-912C-4CF3-96EC-5C2BE3C886A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C03E-D6CF-455C-BEB5-69D5AD0980DD}">
  <dimension ref="A1:O9"/>
  <sheetViews>
    <sheetView tabSelected="1" zoomScale="86" workbookViewId="0">
      <pane ySplit="1" topLeftCell="A2" activePane="bottomLeft" state="frozen"/>
      <selection pane="bottomLeft" activeCell="O7" sqref="O7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3.140625" bestFit="1" customWidth="1"/>
    <col min="4" max="4" width="30.28515625" bestFit="1" customWidth="1"/>
    <col min="5" max="5" width="11.85546875" bestFit="1" customWidth="1"/>
    <col min="6" max="6" width="24" bestFit="1" customWidth="1"/>
    <col min="7" max="7" width="18.28515625" style="8" bestFit="1" customWidth="1"/>
    <col min="8" max="8" width="17.5703125" style="1" bestFit="1" customWidth="1"/>
    <col min="9" max="9" width="17.85546875" bestFit="1" customWidth="1"/>
    <col min="10" max="10" width="15.7109375" style="1" bestFit="1" customWidth="1"/>
    <col min="11" max="11" width="21.85546875" style="1" bestFit="1" customWidth="1"/>
    <col min="12" max="12" width="20.85546875" style="1" bestFit="1" customWidth="1"/>
    <col min="13" max="13" width="12.28515625" bestFit="1" customWidth="1"/>
    <col min="14" max="14" width="17.5703125" style="8" bestFit="1" customWidth="1"/>
    <col min="15" max="15" width="22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4</v>
      </c>
      <c r="G1" s="7" t="s">
        <v>5</v>
      </c>
      <c r="H1" s="5" t="s">
        <v>6</v>
      </c>
      <c r="I1" s="3" t="s">
        <v>58</v>
      </c>
      <c r="J1" s="5" t="s">
        <v>7</v>
      </c>
      <c r="K1" s="5" t="s">
        <v>9</v>
      </c>
      <c r="L1" s="5" t="s">
        <v>10</v>
      </c>
      <c r="M1" s="3" t="s">
        <v>11</v>
      </c>
      <c r="N1" s="7" t="s">
        <v>48</v>
      </c>
      <c r="O1" s="3" t="s">
        <v>12</v>
      </c>
    </row>
    <row r="2" spans="1:15" ht="15.75" x14ac:dyDescent="0.25">
      <c r="A2" t="s">
        <v>32</v>
      </c>
      <c r="B2" t="s">
        <v>15</v>
      </c>
      <c r="C2" t="s">
        <v>24</v>
      </c>
      <c r="D2" t="s">
        <v>40</v>
      </c>
      <c r="E2" t="s">
        <v>13</v>
      </c>
      <c r="F2" t="s">
        <v>43</v>
      </c>
      <c r="G2" s="8">
        <v>44635</v>
      </c>
      <c r="H2" s="2">
        <v>1249</v>
      </c>
      <c r="I2">
        <v>5</v>
      </c>
      <c r="J2" s="1">
        <v>221</v>
      </c>
      <c r="K2" s="6">
        <f t="shared" ref="K2:K9" si="0">(H2-J2)/I2</f>
        <v>205.6</v>
      </c>
      <c r="L2" s="6">
        <f t="shared" ref="L2:L9" ca="1" si="1">H2-(K2*(YEAR(TODAY())-YEAR(G2)))</f>
        <v>426.6</v>
      </c>
      <c r="M2" t="s">
        <v>47</v>
      </c>
      <c r="N2" s="8">
        <v>45731</v>
      </c>
    </row>
    <row r="3" spans="1:15" ht="15.75" x14ac:dyDescent="0.25">
      <c r="A3" t="s">
        <v>33</v>
      </c>
      <c r="B3" t="s">
        <v>16</v>
      </c>
      <c r="C3" t="s">
        <v>26</v>
      </c>
      <c r="D3" t="s">
        <v>50</v>
      </c>
      <c r="E3" t="s">
        <v>14</v>
      </c>
      <c r="F3" t="s">
        <v>30</v>
      </c>
      <c r="G3" s="8">
        <v>44378</v>
      </c>
      <c r="H3" s="2">
        <v>3800</v>
      </c>
      <c r="I3">
        <v>7</v>
      </c>
      <c r="J3" s="1">
        <v>60</v>
      </c>
      <c r="K3" s="6">
        <f>(H3-J3)/I3</f>
        <v>534.28571428571433</v>
      </c>
      <c r="L3" s="6">
        <f ca="1">H3-(K3*(YEAR(TODAY())-YEAR(G3)))</f>
        <v>1128.5714285714284</v>
      </c>
      <c r="M3" t="s">
        <v>56</v>
      </c>
      <c r="N3" s="8">
        <v>46296</v>
      </c>
      <c r="O3" t="s">
        <v>60</v>
      </c>
    </row>
    <row r="4" spans="1:15" ht="15.75" x14ac:dyDescent="0.25">
      <c r="A4" t="s">
        <v>34</v>
      </c>
      <c r="B4" t="s">
        <v>17</v>
      </c>
      <c r="C4" t="s">
        <v>27</v>
      </c>
      <c r="D4" t="s">
        <v>52</v>
      </c>
      <c r="E4" t="s">
        <v>42</v>
      </c>
      <c r="F4" t="s">
        <v>46</v>
      </c>
      <c r="G4" s="8">
        <v>45292</v>
      </c>
      <c r="H4" s="2">
        <v>150</v>
      </c>
      <c r="I4">
        <v>1</v>
      </c>
      <c r="J4" s="1">
        <v>0</v>
      </c>
      <c r="K4" s="6">
        <f t="shared" si="0"/>
        <v>150</v>
      </c>
      <c r="L4" s="6">
        <f t="shared" ca="1" si="1"/>
        <v>-150</v>
      </c>
      <c r="M4" t="s">
        <v>18</v>
      </c>
      <c r="N4" s="8">
        <v>45658</v>
      </c>
    </row>
    <row r="5" spans="1:15" ht="15.75" x14ac:dyDescent="0.25">
      <c r="A5" t="s">
        <v>35</v>
      </c>
      <c r="B5" t="s">
        <v>19</v>
      </c>
      <c r="C5" t="s">
        <v>25</v>
      </c>
      <c r="D5" t="s">
        <v>51</v>
      </c>
      <c r="E5" t="s">
        <v>28</v>
      </c>
      <c r="F5" t="s">
        <v>29</v>
      </c>
      <c r="G5" s="8">
        <v>44084</v>
      </c>
      <c r="H5" s="2">
        <v>349</v>
      </c>
      <c r="I5">
        <v>6</v>
      </c>
      <c r="J5" s="1">
        <v>60</v>
      </c>
      <c r="K5" s="6">
        <f t="shared" si="0"/>
        <v>48.166666666666664</v>
      </c>
      <c r="L5" s="6">
        <f t="shared" ca="1" si="1"/>
        <v>60</v>
      </c>
      <c r="M5" t="s">
        <v>57</v>
      </c>
      <c r="N5" s="8">
        <v>44449</v>
      </c>
    </row>
    <row r="6" spans="1:15" ht="15.75" x14ac:dyDescent="0.25">
      <c r="A6" t="s">
        <v>36</v>
      </c>
      <c r="B6" t="s">
        <v>20</v>
      </c>
      <c r="C6" t="s">
        <v>26</v>
      </c>
      <c r="D6" t="s">
        <v>49</v>
      </c>
      <c r="E6" t="s">
        <v>14</v>
      </c>
      <c r="F6" t="s">
        <v>30</v>
      </c>
      <c r="G6" s="8">
        <v>43799</v>
      </c>
      <c r="H6" s="2">
        <v>7500</v>
      </c>
      <c r="I6">
        <v>7</v>
      </c>
      <c r="J6" s="1">
        <v>100</v>
      </c>
      <c r="K6" s="6">
        <f t="shared" si="0"/>
        <v>1057.1428571428571</v>
      </c>
      <c r="L6" s="6">
        <f t="shared" ca="1" si="1"/>
        <v>100</v>
      </c>
      <c r="M6" t="s">
        <v>56</v>
      </c>
      <c r="N6" s="8">
        <v>46265</v>
      </c>
      <c r="O6" t="s">
        <v>59</v>
      </c>
    </row>
    <row r="7" spans="1:15" ht="15.75" x14ac:dyDescent="0.25">
      <c r="A7" t="s">
        <v>37</v>
      </c>
      <c r="B7" t="s">
        <v>21</v>
      </c>
      <c r="C7" t="s">
        <v>24</v>
      </c>
      <c r="D7" t="s">
        <v>53</v>
      </c>
      <c r="E7" t="s">
        <v>41</v>
      </c>
      <c r="F7" t="s">
        <v>44</v>
      </c>
      <c r="G7" s="8">
        <v>45350</v>
      </c>
      <c r="H7" s="2">
        <v>1999</v>
      </c>
      <c r="I7">
        <v>5</v>
      </c>
      <c r="J7" s="1">
        <v>700</v>
      </c>
      <c r="K7" s="6">
        <f t="shared" si="0"/>
        <v>259.8</v>
      </c>
      <c r="L7" s="6">
        <f t="shared" ca="1" si="1"/>
        <v>1479.4</v>
      </c>
      <c r="M7" t="s">
        <v>47</v>
      </c>
      <c r="N7" s="8">
        <v>45716</v>
      </c>
    </row>
    <row r="8" spans="1:15" ht="15.75" x14ac:dyDescent="0.25">
      <c r="A8" t="s">
        <v>38</v>
      </c>
      <c r="B8" t="s">
        <v>22</v>
      </c>
      <c r="C8" t="s">
        <v>26</v>
      </c>
      <c r="D8" t="s">
        <v>54</v>
      </c>
      <c r="E8" t="s">
        <v>14</v>
      </c>
      <c r="F8" t="s">
        <v>30</v>
      </c>
      <c r="G8" s="8">
        <v>44378</v>
      </c>
      <c r="H8" s="2">
        <v>820</v>
      </c>
      <c r="I8">
        <v>5</v>
      </c>
      <c r="J8" s="1">
        <v>115</v>
      </c>
      <c r="K8" s="6">
        <f t="shared" si="0"/>
        <v>141</v>
      </c>
      <c r="L8" s="6">
        <f t="shared" ca="1" si="1"/>
        <v>115</v>
      </c>
      <c r="M8" t="s">
        <v>57</v>
      </c>
      <c r="N8" s="8">
        <v>45108</v>
      </c>
    </row>
    <row r="9" spans="1:15" ht="15.75" x14ac:dyDescent="0.25">
      <c r="A9" t="s">
        <v>39</v>
      </c>
      <c r="B9" t="s">
        <v>23</v>
      </c>
      <c r="C9" t="s">
        <v>25</v>
      </c>
      <c r="D9" t="s">
        <v>55</v>
      </c>
      <c r="E9" t="s">
        <v>31</v>
      </c>
      <c r="F9" t="s">
        <v>45</v>
      </c>
      <c r="G9" s="8">
        <v>45047</v>
      </c>
      <c r="H9" s="2">
        <v>499</v>
      </c>
      <c r="I9">
        <v>10</v>
      </c>
      <c r="J9" s="1">
        <v>20</v>
      </c>
      <c r="K9" s="6">
        <f t="shared" si="0"/>
        <v>47.9</v>
      </c>
      <c r="L9" s="6">
        <f t="shared" ca="1" si="1"/>
        <v>355.3</v>
      </c>
      <c r="M9" t="s">
        <v>47</v>
      </c>
      <c r="N9" s="8">
        <v>48700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Legarreta, Juan P</dc:creator>
  <cp:lastModifiedBy>De Legarreta, Juan P</cp:lastModifiedBy>
  <dcterms:created xsi:type="dcterms:W3CDTF">2026-04-14T22:52:23Z</dcterms:created>
  <dcterms:modified xsi:type="dcterms:W3CDTF">2026-04-15T20:30:25Z</dcterms:modified>
</cp:coreProperties>
</file>